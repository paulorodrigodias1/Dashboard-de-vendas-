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ootcamp-Santander\Construção-de-dashboard\Criando-dashboard\"/>
    </mc:Choice>
  </mc:AlternateContent>
  <xr:revisionPtr revIDLastSave="0" documentId="13_ncr:1_{E574C11B-2CC9-4683-9342-B34121A8FC83}" xr6:coauthVersionLast="47" xr6:coauthVersionMax="47" xr10:uidLastSave="{00000000-0000-0000-0000-000000000000}"/>
  <bookViews>
    <workbookView xWindow="20370" yWindow="-120" windowWidth="15600" windowHeight="11160" tabRatio="51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3" l="1"/>
  <c r="F37" i="3"/>
  <c r="F26" i="3"/>
</calcChain>
</file>

<file path=xl/sharedStrings.xml><?xml version="1.0" encoding="utf-8"?>
<sst xmlns="http://schemas.openxmlformats.org/spreadsheetml/2006/main" count="2031" uniqueCount="326">
  <si>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</si>
  <si>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</si>
  <si>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</si>
  <si>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</si>
  <si>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</si>
  <si>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</si>
  <si>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</si>
  <si>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</si>
  <si>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</si>
  <si>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</si>
  <si>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</si>
  <si>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</si>
  <si>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</si>
  <si>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</si>
  <si>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</si>
  <si>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</si>
  <si>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</si>
  <si>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</si>
  <si>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</si>
  <si>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</si>
  <si>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</si>
  <si>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</si>
  <si>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</si>
  <si>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</si>
  <si>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</si>
  <si>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</si>
  <si>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</si>
  <si>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</si>
  <si>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</si>
  <si>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</si>
  <si>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</si>
  <si>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</si>
  <si>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</si>
  <si>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</si>
  <si>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</si>
  <si>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</si>
  <si>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</si>
  <si>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</si>
  <si>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</si>
  <si>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</si>
  <si>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</si>
  <si>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</si>
  <si>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</si>
  <si>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</si>
  <si>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</si>
  <si>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</si>
  <si>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</si>
  <si>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</si>
  <si>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</si>
  <si>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</si>
  <si>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</si>
  <si>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</si>
  <si>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</si>
  <si>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</si>
  <si>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</si>
  <si>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</si>
  <si>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</si>
  <si>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</si>
  <si>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</si>
  <si>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</si>
  <si>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</si>
  <si>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</si>
  <si>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</si>
  <si>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</si>
  <si>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</si>
  <si>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</si>
  <si>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</si>
  <si>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</si>
  <si>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</si>
  <si>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</si>
  <si>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</si>
  <si>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</si>
  <si>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</si>
  <si>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</si>
  <si>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</si>
  <si>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</si>
  <si>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</si>
  <si>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</si>
  <si>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</si>
  <si>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</si>
  <si>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</si>
  <si>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</si>
  <si>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</si>
  <si>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</si>
  <si>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</si>
  <si>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</si>
  <si>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</si>
  <si>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</si>
  <si>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</si>
  <si>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</si>
  <si>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</si>
  <si>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</si>
  <si>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</si>
  <si>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</si>
  <si>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</si>
  <si>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</si>
  <si>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</si>
  <si>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</si>
  <si>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</si>
  <si>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</si>
  <si>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</si>
  <si>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</si>
  <si>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</si>
  <si>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</si>
  <si>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</si>
  <si>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</si>
  <si>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</si>
  <si>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</si>
  <si>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</si>
  <si>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</si>
  <si>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</si>
  <si>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</si>
  <si>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</si>
  <si>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</si>
  <si>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</si>
  <si>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</si>
  <si>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</si>
  <si>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</si>
  <si>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</si>
  <si>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</si>
  <si>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</si>
  <si>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</si>
  <si>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</si>
  <si>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</si>
  <si>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</si>
  <si>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</si>
  <si>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</si>
  <si>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</si>
  <si>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</si>
  <si>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</si>
  <si>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</si>
  <si>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</si>
  <si>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</si>
  <si>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</si>
  <si>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</si>
  <si>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</si>
  <si>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</si>
  <si>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</si>
  <si>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</si>
  <si>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</si>
  <si>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</si>
  <si>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</si>
  <si>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</si>
  <si>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</si>
  <si>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</si>
  <si>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</si>
  <si>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</si>
  <si>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</si>
  <si>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</si>
  <si>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</si>
  <si>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</si>
  <si>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</si>
  <si>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</si>
  <si>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</si>
  <si>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</si>
  <si>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</si>
  <si>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</si>
  <si>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</si>
  <si>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</si>
  <si>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</si>
  <si>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</si>
  <si>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</si>
  <si>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</si>
  <si>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</si>
  <si>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</si>
  <si>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</si>
  <si>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</si>
  <si>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</si>
  <si>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</si>
  <si>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</si>
  <si>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</si>
  <si>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</si>
  <si>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</si>
  <si>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</si>
  <si>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</si>
  <si>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</si>
  <si>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</si>
  <si>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</si>
  <si>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</si>
  <si>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</si>
  <si>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</si>
  <si>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</si>
  <si>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</si>
  <si>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</si>
  <si>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</si>
  <si>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</si>
  <si>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</si>
  <si>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</si>
  <si>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</si>
  <si>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</si>
  <si>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</si>
  <si>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</si>
  <si>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</si>
  <si>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</si>
  <si>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</si>
  <si>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</si>
  <si>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</si>
  <si>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</si>
  <si>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</si>
  <si>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</si>
  <si>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</si>
  <si>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</si>
  <si>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</si>
  <si>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</si>
  <si>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</si>
  <si>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</si>
  <si>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</si>
  <si>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</si>
  <si>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</si>
  <si>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</si>
  <si>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</si>
  <si>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</si>
  <si>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</si>
  <si>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</si>
  <si>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</si>
  <si>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</si>
  <si>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</si>
  <si>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</si>
  <si>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</si>
  <si>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</si>
  <si>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</si>
  <si>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</si>
  <si>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</si>
  <si>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</si>
  <si>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</si>
  <si>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</si>
  <si>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</si>
  <si>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</si>
  <si>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</si>
  <si>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</si>
  <si>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</si>
  <si>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</si>
  <si>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</si>
  <si>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</si>
  <si>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</si>
  <si>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</si>
  <si>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</si>
  <si>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</si>
  <si>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</si>
  <si>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</si>
  <si>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</si>
  <si>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</si>
  <si>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</si>
  <si>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</si>
  <si>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</si>
  <si>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</si>
  <si>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</si>
  <si>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</si>
  <si>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</si>
  <si>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</si>
  <si>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</si>
  <si>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</si>
  <si>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</si>
  <si>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</si>
  <si>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</si>
  <si>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</si>
  <si>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</si>
  <si>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</si>
  <si>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</si>
  <si>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</si>
  <si>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</si>
  <si>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</si>
  <si>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</si>
  <si>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</si>
  <si>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</si>
  <si>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</si>
  <si>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</si>
  <si>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</si>
  <si>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</si>
  <si>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</si>
  <si>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</si>
  <si>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</si>
  <si>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</si>
  <si>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</si>
  <si>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</si>
  <si>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</si>
  <si>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</si>
  <si>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</si>
  <si>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</si>
  <si>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</si>
  <si>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</si>
  <si>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</si>
  <si>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</si>
  <si>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</si>
  <si>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</si>
  <si>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</si>
  <si>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</si>
  <si>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</si>
  <si>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</si>
  <si>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</si>
  <si>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</si>
  <si>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</si>
  <si>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</si>
  <si>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</si>
  <si>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</si>
  <si>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</si>
  <si>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</si>
  <si>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</si>
  <si>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</si>
  <si>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</si>
  <si>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</si>
  <si>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</si>
  <si>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</si>
  <si>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</si>
  <si>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</si>
  <si>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</si>
  <si>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</si>
  <si>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</si>
  <si>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</si>
  <si>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</si>
  <si>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</si>
  <si>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</si>
  <si>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</si>
  <si>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</si>
  <si>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1: Qual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contendo todas as assinaturas agregadas</t>
    </r>
  </si>
  <si>
    <t>Rótulos de Linha</t>
  </si>
  <si>
    <t>Total Geral</t>
  </si>
  <si>
    <t>Soma de Total Value</t>
  </si>
  <si>
    <r>
      <t>Pergunta de negócio 2: Qual o faturamento</t>
    </r>
    <r>
      <rPr>
        <b/>
        <sz val="11"/>
        <color theme="1"/>
        <rFont val="Aptos Narrow"/>
        <family val="2"/>
        <scheme val="minor"/>
      </rPr>
      <t xml:space="preserve"> toal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 por alto renovação ou não é auto renovação</t>
    </r>
  </si>
  <si>
    <t>Pergunta de negócio 3: Total de vendas de assinatura EA Play</t>
  </si>
  <si>
    <t>Soma de EA Play Season Pass</t>
  </si>
  <si>
    <t>Pergunta 4: Total de assinaturas do Minecraft Season Pass</t>
  </si>
  <si>
    <t>Soma de Minecraft Season Pass Price</t>
  </si>
  <si>
    <t>XBOX GAME PASS SUBSCRIPTION SALES</t>
  </si>
  <si>
    <t>Soma de Coupon Value</t>
  </si>
  <si>
    <t>Pergunta 5: Quanto de descontos foram aplicados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</si>
</sst>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4" fillId="0" borderId="2" xfId="1" applyFont="1" applyBorder="1"/>
    <xf numFmtId="0" fontId="4" fillId="0" borderId="2" xfId="1" applyFont="1" applyBorder="1" applyAlignment="1">
      <alignment horizontal="left" indent="9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271644A9-46A8-4875-869F-7B6D47427B6A}">
      <tableStyleElement type="wholeTable" dxfId="1"/>
      <tableStyleElement type="headerRow" dxfId="0"/>
    </tableStyle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6511698436197503E-2"/>
          <c:y val="0.27664744743720926"/>
          <c:w val="0.90128894873334775"/>
          <c:h val="0.649289809621517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8-4D2B-A34B-F2972E236AAB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8-4D2B-A34B-F2972E236A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8-4D2B-A34B-F2972E236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178495"/>
        <c:axId val="1491780767"/>
      </c:barChart>
      <c:catAx>
        <c:axId val="143117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1780767"/>
        <c:crosses val="autoZero"/>
        <c:auto val="1"/>
        <c:lblAlgn val="ctr"/>
        <c:lblOffset val="100"/>
        <c:noMultiLvlLbl val="0"/>
      </c:catAx>
      <c:valAx>
        <c:axId val="14917807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3117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2793" y="5414681"/>
          <a:ext cx="1536029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138544</xdr:colOff>
      <xdr:row>0</xdr:row>
      <xdr:rowOff>0</xdr:rowOff>
    </xdr:from>
    <xdr:to>
      <xdr:col>3</xdr:col>
      <xdr:colOff>38714</xdr:colOff>
      <xdr:row>2</xdr:row>
      <xdr:rowOff>244217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334F4C-728F-4304-8562-FD2609159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605"/>
        <a:stretch>
          <a:fillRect/>
        </a:stretch>
      </xdr:blipFill>
      <xdr:spPr>
        <a:xfrm>
          <a:off x="2320635" y="0"/>
          <a:ext cx="748761" cy="936944"/>
        </a:xfrm>
        <a:prstGeom prst="rect">
          <a:avLst/>
        </a:prstGeom>
      </xdr:spPr>
    </xdr:pic>
    <xdr:clientData/>
  </xdr:twoCellAnchor>
  <xdr:twoCellAnchor editAs="absolute">
    <xdr:from>
      <xdr:col>0</xdr:col>
      <xdr:colOff>22078</xdr:colOff>
      <xdr:row>7</xdr:row>
      <xdr:rowOff>290699</xdr:rowOff>
    </xdr:from>
    <xdr:to>
      <xdr:col>0</xdr:col>
      <xdr:colOff>2140031</xdr:colOff>
      <xdr:row>15</xdr:row>
      <xdr:rowOff>23503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17110EC-677B-4A07-BDBF-F8C477F12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78" y="1953244"/>
              <a:ext cx="2117953" cy="1481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11206</xdr:colOff>
      <xdr:row>7</xdr:row>
      <xdr:rowOff>278947</xdr:rowOff>
    </xdr:from>
    <xdr:to>
      <xdr:col>8</xdr:col>
      <xdr:colOff>242526</xdr:colOff>
      <xdr:row>18</xdr:row>
      <xdr:rowOff>79642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E5E009C-518B-8226-4A0B-497BF3D086A0}"/>
            </a:ext>
          </a:extLst>
        </xdr:cNvPr>
        <xdr:cNvGrpSpPr/>
      </xdr:nvGrpSpPr>
      <xdr:grpSpPr>
        <a:xfrm>
          <a:off x="2435751" y="1941492"/>
          <a:ext cx="3868139" cy="2121332"/>
          <a:chOff x="2408465" y="1347106"/>
          <a:chExt cx="3850822" cy="212271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DD83F3E-510A-8208-7C4B-8BE385DD7013}"/>
              </a:ext>
            </a:extLst>
          </xdr:cNvPr>
          <xdr:cNvSpPr/>
        </xdr:nvSpPr>
        <xdr:spPr>
          <a:xfrm>
            <a:off x="2422071" y="1374321"/>
            <a:ext cx="3823608" cy="20955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6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AF12465B-31E1-4C3C-AF13-4744823E1FE4}"/>
              </a:ext>
            </a:extLst>
          </xdr:cNvPr>
          <xdr:cNvSpPr/>
        </xdr:nvSpPr>
        <xdr:spPr>
          <a:xfrm>
            <a:off x="3646715" y="2013856"/>
            <a:ext cx="2286000" cy="134710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D360A82-27A2-444C-83F4-5470BB75CCF5}" type="TxLink">
              <a:rPr lang="en-US" sz="3200" b="1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3200" b="1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A06CC2D-E712-4C51-8D70-08001739DD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30928" y="2077809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75515231-DF74-FE80-6D0B-63F25FB108E9}"/>
              </a:ext>
            </a:extLst>
          </xdr:cNvPr>
          <xdr:cNvSpPr/>
        </xdr:nvSpPr>
        <xdr:spPr>
          <a:xfrm>
            <a:off x="2408465" y="1347106"/>
            <a:ext cx="3850822" cy="517071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79242</xdr:colOff>
      <xdr:row>7</xdr:row>
      <xdr:rowOff>278947</xdr:rowOff>
    </xdr:from>
    <xdr:to>
      <xdr:col>15</xdr:col>
      <xdr:colOff>487455</xdr:colOff>
      <xdr:row>18</xdr:row>
      <xdr:rowOff>79642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8B90ED56-8C38-E75E-ED36-E2EFCC0FCCFC}"/>
            </a:ext>
          </a:extLst>
        </xdr:cNvPr>
        <xdr:cNvGrpSpPr/>
      </xdr:nvGrpSpPr>
      <xdr:grpSpPr>
        <a:xfrm>
          <a:off x="6746742" y="1941492"/>
          <a:ext cx="3871849" cy="2121332"/>
          <a:chOff x="6776357" y="1374322"/>
          <a:chExt cx="3905249" cy="2122715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A14215F-A8B3-4DFA-83B2-BB28AD505535}"/>
              </a:ext>
            </a:extLst>
          </xdr:cNvPr>
          <xdr:cNvGrpSpPr/>
        </xdr:nvGrpSpPr>
        <xdr:grpSpPr>
          <a:xfrm>
            <a:off x="6776357" y="1374322"/>
            <a:ext cx="3905249" cy="2122715"/>
            <a:chOff x="2408465" y="1347106"/>
            <a:chExt cx="3850822" cy="212271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B90651B8-5314-A731-21F4-4F60630BDF11}"/>
                </a:ext>
              </a:extLst>
            </xdr:cNvPr>
            <xdr:cNvSpPr/>
          </xdr:nvSpPr>
          <xdr:spPr>
            <a:xfrm>
              <a:off x="2422071" y="1374321"/>
              <a:ext cx="3823608" cy="2095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7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136A332C-205B-BEDF-022C-F213D63BA563}"/>
                </a:ext>
              </a:extLst>
            </xdr:cNvPr>
            <xdr:cNvSpPr/>
          </xdr:nvSpPr>
          <xdr:spPr>
            <a:xfrm>
              <a:off x="3646715" y="2013856"/>
              <a:ext cx="2286000" cy="134710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590D01D-8033-4F35-A3FE-24F8E878D4AA}" type="TxLink">
                <a:rPr lang="en-US" sz="3200" b="1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en-US" sz="3200" b="1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9FCBC111-E013-7296-F2AA-0ECF1F6BA847}"/>
                </a:ext>
              </a:extLst>
            </xdr:cNvPr>
            <xdr:cNvSpPr/>
          </xdr:nvSpPr>
          <xdr:spPr>
            <a:xfrm>
              <a:off x="2408465" y="1347106"/>
              <a:ext cx="3850822" cy="51707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96637562-4D5D-4332-A9A6-00246A399449}"/>
              </a:ext>
            </a:extLst>
          </xdr:cNvPr>
          <xdr:cNvGrpSpPr/>
        </xdr:nvGrpSpPr>
        <xdr:grpSpPr>
          <a:xfrm>
            <a:off x="6858001" y="2231574"/>
            <a:ext cx="1143000" cy="586079"/>
            <a:chOff x="3495675" y="5400674"/>
            <a:chExt cx="1549476" cy="731605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2A932ACA-C887-1E25-8C35-4618BCBA3F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1E79D357-0C3E-6110-FC44-28572A2B7F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75066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180677</xdr:colOff>
      <xdr:row>31</xdr:row>
      <xdr:rowOff>116133</xdr:rowOff>
    </xdr:from>
    <xdr:to>
      <xdr:col>15</xdr:col>
      <xdr:colOff>520856</xdr:colOff>
      <xdr:row>46</xdr:row>
      <xdr:rowOff>34489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DB2296F-EE6B-B30D-D361-800819B0B218}"/>
            </a:ext>
          </a:extLst>
        </xdr:cNvPr>
        <xdr:cNvGrpSpPr/>
      </xdr:nvGrpSpPr>
      <xdr:grpSpPr>
        <a:xfrm>
          <a:off x="2362768" y="6575815"/>
          <a:ext cx="8289224" cy="2775856"/>
          <a:chOff x="2381250" y="3769179"/>
          <a:chExt cx="8368393" cy="2775856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8B14E67A-FBF8-F705-C1B9-01FE0599FCF6}"/>
              </a:ext>
            </a:extLst>
          </xdr:cNvPr>
          <xdr:cNvGrpSpPr/>
        </xdr:nvGrpSpPr>
        <xdr:grpSpPr>
          <a:xfrm>
            <a:off x="2381250" y="3905251"/>
            <a:ext cx="8354786" cy="2639784"/>
            <a:chOff x="1061357" y="993323"/>
            <a:chExt cx="3946071" cy="263978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E91B4F3-F8D8-2473-CA92-A12EFE6AE0EA}"/>
                </a:ext>
              </a:extLst>
            </xdr:cNvPr>
            <xdr:cNvSpPr/>
          </xdr:nvSpPr>
          <xdr:spPr>
            <a:xfrm>
              <a:off x="1061357" y="1156607"/>
              <a:ext cx="3946071" cy="2476500"/>
            </a:xfrm>
            <a:prstGeom prst="roundRect">
              <a:avLst>
                <a:gd name="adj" fmla="val 1117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5B9287F-CE3C-4D35-9AF4-F3C89E9AC993}"/>
                </a:ext>
              </a:extLst>
            </xdr:cNvPr>
            <xdr:cNvGraphicFramePr>
              <a:graphicFrameLocks/>
            </xdr:cNvGraphicFramePr>
          </xdr:nvGraphicFramePr>
          <xdr:xfrm>
            <a:off x="1209174" y="993323"/>
            <a:ext cx="3721132" cy="25309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C617C374-30EE-4BE1-8C7B-C13726884F9E}"/>
              </a:ext>
            </a:extLst>
          </xdr:cNvPr>
          <xdr:cNvSpPr/>
        </xdr:nvSpPr>
        <xdr:spPr>
          <a:xfrm>
            <a:off x="2381250" y="3769179"/>
            <a:ext cx="8368393" cy="517071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484909</xdr:colOff>
      <xdr:row>1</xdr:row>
      <xdr:rowOff>101976</xdr:rowOff>
    </xdr:from>
    <xdr:to>
      <xdr:col>0</xdr:col>
      <xdr:colOff>1627909</xdr:colOff>
      <xdr:row>3</xdr:row>
      <xdr:rowOff>50021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C8F0BCFA-8D7E-4912-8E47-CDC9D5FD7DDB}"/>
            </a:ext>
          </a:extLst>
        </xdr:cNvPr>
        <xdr:cNvSpPr/>
      </xdr:nvSpPr>
      <xdr:spPr>
        <a:xfrm>
          <a:off x="484909" y="292476"/>
          <a:ext cx="1143000" cy="9525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138545</xdr:colOff>
      <xdr:row>4</xdr:row>
      <xdr:rowOff>17318</xdr:rowOff>
    </xdr:from>
    <xdr:to>
      <xdr:col>0</xdr:col>
      <xdr:colOff>1956954</xdr:colOff>
      <xdr:row>7</xdr:row>
      <xdr:rowOff>155865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CB488073-3790-0DDC-A94B-65BA461EADF1}"/>
            </a:ext>
          </a:extLst>
        </xdr:cNvPr>
        <xdr:cNvSpPr/>
      </xdr:nvSpPr>
      <xdr:spPr>
        <a:xfrm>
          <a:off x="138545" y="1316182"/>
          <a:ext cx="1818409" cy="502228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WELCOME ELIANA</a:t>
          </a:r>
        </a:p>
      </xdr:txBody>
    </xdr:sp>
    <xdr:clientData/>
  </xdr:twoCellAnchor>
  <xdr:twoCellAnchor editAs="absolute">
    <xdr:from>
      <xdr:col>2</xdr:col>
      <xdr:colOff>1</xdr:colOff>
      <xdr:row>5</xdr:row>
      <xdr:rowOff>1</xdr:rowOff>
    </xdr:from>
    <xdr:to>
      <xdr:col>10</xdr:col>
      <xdr:colOff>347382</xdr:colOff>
      <xdr:row>6</xdr:row>
      <xdr:rowOff>33618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941F6EDA-2FD1-4A52-A825-5FE4D0220302}"/>
            </a:ext>
          </a:extLst>
        </xdr:cNvPr>
        <xdr:cNvSpPr/>
      </xdr:nvSpPr>
      <xdr:spPr>
        <a:xfrm>
          <a:off x="2420472" y="1378325"/>
          <a:ext cx="5188322" cy="168087"/>
        </a:xfrm>
        <a:prstGeom prst="roundRect">
          <a:avLst/>
        </a:prstGeom>
        <a:solidFill>
          <a:srgbClr val="E8E6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800" b="1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| UPDATE</a:t>
          </a:r>
          <a:r>
            <a:rPr lang="pt-BR" sz="800" b="1" baseline="0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DATE: 15/03/2026 18:34</a:t>
          </a:r>
          <a:endParaRPr lang="pt-BR" sz="800" b="1">
            <a:solidFill>
              <a:schemeClr val="bg2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467590</xdr:colOff>
      <xdr:row>19</xdr:row>
      <xdr:rowOff>69274</xdr:rowOff>
    </xdr:from>
    <xdr:to>
      <xdr:col>12</xdr:col>
      <xdr:colOff>265957</xdr:colOff>
      <xdr:row>30</xdr:row>
      <xdr:rowOff>95106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061AD69D-EB74-11A1-BE83-E328C6FB0636}"/>
            </a:ext>
          </a:extLst>
        </xdr:cNvPr>
        <xdr:cNvGrpSpPr/>
      </xdr:nvGrpSpPr>
      <xdr:grpSpPr>
        <a:xfrm>
          <a:off x="4710545" y="4242956"/>
          <a:ext cx="3868139" cy="2121332"/>
          <a:chOff x="4779818" y="4277592"/>
          <a:chExt cx="3868139" cy="2121332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37E432AD-0C43-4A3F-B262-99EEECB8BD2B}"/>
              </a:ext>
            </a:extLst>
          </xdr:cNvPr>
          <xdr:cNvGrpSpPr/>
        </xdr:nvGrpSpPr>
        <xdr:grpSpPr>
          <a:xfrm>
            <a:off x="4779818" y="4277592"/>
            <a:ext cx="3868139" cy="2121332"/>
            <a:chOff x="2408465" y="1347106"/>
            <a:chExt cx="3850822" cy="2122715"/>
          </a:xfrm>
        </xdr:grpSpPr>
        <xdr:sp macro="" textlink="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5C5DFAF7-C775-0A94-B26E-6C65FAF83E37}"/>
                </a:ext>
              </a:extLst>
            </xdr:cNvPr>
            <xdr:cNvSpPr/>
          </xdr:nvSpPr>
          <xdr:spPr>
            <a:xfrm>
              <a:off x="2422071" y="1374321"/>
              <a:ext cx="3823608" cy="2095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48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B5F96DDD-626B-3AEA-3D7F-4310C93EE3A2}"/>
                </a:ext>
              </a:extLst>
            </xdr:cNvPr>
            <xdr:cNvSpPr/>
          </xdr:nvSpPr>
          <xdr:spPr>
            <a:xfrm>
              <a:off x="3646715" y="2013856"/>
              <a:ext cx="2286000" cy="134710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2EF460B-A50E-4A4C-B245-11FD618F3F25}" type="TxLink">
                <a:rPr lang="en-US" sz="32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R$ 476,00</a:t>
              </a:fld>
              <a:endParaRPr lang="en-US" sz="32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31" name="Imagem 30">
              <a:extLst>
                <a:ext uri="{FF2B5EF4-FFF2-40B4-BE49-F238E27FC236}">
                  <a16:creationId xmlns:a16="http://schemas.microsoft.com/office/drawing/2014/main" id="{5DB0A95D-63AF-7E99-F604-44B5449FC7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496447" y="1644573"/>
              <a:ext cx="1219200" cy="1219200"/>
            </a:xfrm>
            <a:prstGeom prst="rect">
              <a:avLst/>
            </a:prstGeom>
          </xdr:spPr>
        </xdr:pic>
        <xdr:sp macro="" textlink="">
          <xdr:nvSpPr>
            <xdr:cNvPr id="32" name="Retângulo: Cantos Superiores Arredondados 31">
              <a:extLst>
                <a:ext uri="{FF2B5EF4-FFF2-40B4-BE49-F238E27FC236}">
                  <a16:creationId xmlns:a16="http://schemas.microsoft.com/office/drawing/2014/main" id="{8836B358-D0F3-27C0-991A-D24D1CBEA1A8}"/>
                </a:ext>
              </a:extLst>
            </xdr:cNvPr>
            <xdr:cNvSpPr/>
          </xdr:nvSpPr>
          <xdr:spPr>
            <a:xfrm>
              <a:off x="2408465" y="1347106"/>
              <a:ext cx="3850822" cy="51707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DISCOUNTS APPLIED 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A091CBCF-B815-F2E6-1496-1D290D822E96}"/>
              </a:ext>
            </a:extLst>
          </xdr:cNvPr>
          <xdr:cNvGrpSpPr/>
        </xdr:nvGrpSpPr>
        <xdr:grpSpPr>
          <a:xfrm>
            <a:off x="4901046" y="5420591"/>
            <a:ext cx="1133224" cy="585697"/>
            <a:chOff x="4901046" y="5420591"/>
            <a:chExt cx="1133224" cy="585697"/>
          </a:xfrm>
        </xdr:grpSpPr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1A5FBAA8-6355-4716-AA62-553665073E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268871" y="5420591"/>
              <a:ext cx="406268" cy="488023"/>
            </a:xfrm>
            <a:prstGeom prst="rect">
              <a:avLst/>
            </a:prstGeom>
          </xdr:spPr>
        </xdr:pic>
        <xdr:pic>
          <xdr:nvPicPr>
            <xdr:cNvPr id="35" name="Gráfico 34">
              <a:extLst>
                <a:ext uri="{FF2B5EF4-FFF2-40B4-BE49-F238E27FC236}">
                  <a16:creationId xmlns:a16="http://schemas.microsoft.com/office/drawing/2014/main" id="{478B7ABB-607D-46B9-825E-6A98192F59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4901046" y="5800372"/>
              <a:ext cx="1133224" cy="205916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drigo Dias" refreshedDate="46280.576252199076" createdVersion="8" refreshedVersion="8" minRefreshableVersion="3" recordCount="295" xr:uid="{E2AEDFAD-BC85-4E71-B271-AA451D075D1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081415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3BE32-8F23-4339-BEC4-039E824DF787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4:C4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D3BBD-441B-4470-8E9A-7FCFA4453C29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5552C-F721-4898-84DA-65D1D06921A2}" name="tbl_easeasonpass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3BC1F-310D-42AF-B066-6C459688BB61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5CADD7B-1F73-4B52-8F91-1A939B53101A}" sourceName="Subscription Type">
  <pivotTables>
    <pivotTable tabId="3" name="tbl_annual_total"/>
    <pivotTable tabId="3" name="tbl_easeasonpasstotal"/>
    <pivotTable tabId="3" name="Tabela dinâmica3"/>
    <pivotTable tabId="3" name="Tabela dinâmica4"/>
  </pivotTables>
  <data>
    <tabular pivotCacheId="130814153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43E414C-7CAF-4296-9083-37E7BC66982C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85" zoomScaleNormal="85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A21" sqref="A2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8"/>
  <sheetViews>
    <sheetView showGridLines="0" topLeftCell="A33" workbookViewId="0">
      <selection activeCell="F48" sqref="F48"/>
    </sheetView>
  </sheetViews>
  <sheetFormatPr defaultRowHeight="15" x14ac:dyDescent="0.25"/>
  <cols>
    <col min="2" max="2" width="18.42578125" bestFit="1" customWidth="1"/>
    <col min="3" max="4" width="22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6" spans="2:3" x14ac:dyDescent="0.25">
      <c r="B6" t="s">
        <v>314</v>
      </c>
    </row>
    <row r="7" spans="2:3" x14ac:dyDescent="0.25">
      <c r="B7" t="s">
        <v>318</v>
      </c>
    </row>
    <row r="10" spans="2:3" x14ac:dyDescent="0.25">
      <c r="B10" s="12" t="s">
        <v>16</v>
      </c>
      <c r="C10" t="s">
        <v>24</v>
      </c>
    </row>
    <row r="12" spans="2:3" x14ac:dyDescent="0.25">
      <c r="B12" s="12" t="s">
        <v>315</v>
      </c>
      <c r="C12" t="s">
        <v>317</v>
      </c>
    </row>
    <row r="13" spans="2:3" x14ac:dyDescent="0.25">
      <c r="B13" s="13" t="s">
        <v>23</v>
      </c>
      <c r="C13" s="14">
        <v>217</v>
      </c>
    </row>
    <row r="14" spans="2:3" x14ac:dyDescent="0.25">
      <c r="B14" s="13" t="s">
        <v>19</v>
      </c>
      <c r="C14" s="14">
        <v>1537</v>
      </c>
    </row>
    <row r="15" spans="2:3" x14ac:dyDescent="0.25">
      <c r="B15" s="13" t="s">
        <v>316</v>
      </c>
      <c r="C15" s="14">
        <v>1754</v>
      </c>
    </row>
    <row r="18" spans="2:6" x14ac:dyDescent="0.25">
      <c r="B18" s="13" t="s">
        <v>319</v>
      </c>
    </row>
    <row r="20" spans="2:6" x14ac:dyDescent="0.25">
      <c r="B20" s="12" t="s">
        <v>16</v>
      </c>
      <c r="C20" t="s">
        <v>24</v>
      </c>
    </row>
    <row r="22" spans="2:6" x14ac:dyDescent="0.25">
      <c r="B22" s="12" t="s">
        <v>315</v>
      </c>
      <c r="C22" t="s">
        <v>320</v>
      </c>
    </row>
    <row r="23" spans="2:6" x14ac:dyDescent="0.25">
      <c r="B23" s="13" t="s">
        <v>22</v>
      </c>
      <c r="C23" s="15">
        <v>0</v>
      </c>
    </row>
    <row r="24" spans="2:6" x14ac:dyDescent="0.25">
      <c r="B24" s="13" t="s">
        <v>26</v>
      </c>
      <c r="C24" s="15">
        <v>0</v>
      </c>
    </row>
    <row r="25" spans="2:6" x14ac:dyDescent="0.25">
      <c r="B25" s="13" t="s">
        <v>18</v>
      </c>
      <c r="C25" s="15">
        <v>600</v>
      </c>
    </row>
    <row r="26" spans="2:6" x14ac:dyDescent="0.25">
      <c r="B26" s="13" t="s">
        <v>316</v>
      </c>
      <c r="C26" s="15">
        <v>600</v>
      </c>
      <c r="F26" s="16">
        <f>GETPIVOTDATA("EA Play Season Pass
Price",$B$22)</f>
        <v>600</v>
      </c>
    </row>
    <row r="29" spans="2:6" x14ac:dyDescent="0.25">
      <c r="B29" s="13" t="s">
        <v>321</v>
      </c>
    </row>
    <row r="31" spans="2:6" x14ac:dyDescent="0.25">
      <c r="B31" s="12" t="s">
        <v>16</v>
      </c>
      <c r="C31" t="s">
        <v>24</v>
      </c>
    </row>
    <row r="33" spans="2:6" x14ac:dyDescent="0.25">
      <c r="B33" s="12" t="s">
        <v>315</v>
      </c>
      <c r="C33" t="s">
        <v>322</v>
      </c>
    </row>
    <row r="34" spans="2:6" x14ac:dyDescent="0.25">
      <c r="B34" s="13" t="s">
        <v>22</v>
      </c>
      <c r="C34" s="14">
        <v>0</v>
      </c>
    </row>
    <row r="35" spans="2:6" x14ac:dyDescent="0.25">
      <c r="B35" s="13" t="s">
        <v>26</v>
      </c>
      <c r="C35" s="14">
        <v>540</v>
      </c>
    </row>
    <row r="36" spans="2:6" x14ac:dyDescent="0.25">
      <c r="B36" s="13" t="s">
        <v>18</v>
      </c>
      <c r="C36" s="14">
        <v>400</v>
      </c>
    </row>
    <row r="37" spans="2:6" x14ac:dyDescent="0.25">
      <c r="B37" s="13" t="s">
        <v>316</v>
      </c>
      <c r="C37" s="14">
        <v>940</v>
      </c>
      <c r="F37" s="16">
        <f>GETPIVOTDATA("Minecraft Season Pass Price",$B$33)</f>
        <v>940</v>
      </c>
    </row>
    <row r="40" spans="2:6" x14ac:dyDescent="0.25">
      <c r="B40" s="13" t="s">
        <v>325</v>
      </c>
    </row>
    <row r="42" spans="2:6" x14ac:dyDescent="0.25">
      <c r="B42" s="12" t="s">
        <v>16</v>
      </c>
      <c r="C42" t="s">
        <v>24</v>
      </c>
    </row>
    <row r="44" spans="2:6" x14ac:dyDescent="0.25">
      <c r="B44" s="12" t="s">
        <v>315</v>
      </c>
      <c r="C44" t="s">
        <v>324</v>
      </c>
    </row>
    <row r="45" spans="2:6" x14ac:dyDescent="0.25">
      <c r="B45" s="13" t="s">
        <v>22</v>
      </c>
      <c r="C45" s="14">
        <v>0</v>
      </c>
    </row>
    <row r="46" spans="2:6" x14ac:dyDescent="0.25">
      <c r="B46" s="13" t="s">
        <v>26</v>
      </c>
      <c r="C46" s="14">
        <v>362</v>
      </c>
    </row>
    <row r="47" spans="2:6" x14ac:dyDescent="0.25">
      <c r="B47" s="13" t="s">
        <v>18</v>
      </c>
      <c r="C47" s="14">
        <v>114</v>
      </c>
    </row>
    <row r="48" spans="2:6" x14ac:dyDescent="0.25">
      <c r="B48" s="13" t="s">
        <v>316</v>
      </c>
      <c r="C48" s="14">
        <v>476</v>
      </c>
      <c r="F48" s="16">
        <f>GETPIVOTDATA("Coupon Value",$B$44)</f>
        <v>476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490"/>
  <sheetViews>
    <sheetView showGridLines="0" showRowColHeaders="0" tabSelected="1" zoomScale="55" zoomScaleNormal="55" workbookViewId="0">
      <selection activeCell="Q26" sqref="Q26"/>
    </sheetView>
  </sheetViews>
  <sheetFormatPr defaultRowHeight="15" x14ac:dyDescent="0.25"/>
  <cols>
    <col min="1" max="1" width="32.7109375" style="4" customWidth="1"/>
    <col min="2" max="2" width="3.5703125" customWidth="1"/>
    <col min="12" max="12" width="6.5703125" customWidth="1"/>
  </cols>
  <sheetData>
    <row r="2" spans="1:16" ht="39" customHeight="1" thickBot="1" x14ac:dyDescent="0.5">
      <c r="C2" s="18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39" customHeight="1" thickTop="1" x14ac:dyDescent="0.25"/>
    <row r="4" spans="1:16" s="7" customFormat="1" ht="8.25" customHeight="1" x14ac:dyDescent="0.25">
      <c r="A4" s="4"/>
    </row>
    <row r="5" spans="1:16" s="7" customFormat="1" ht="7.5" customHeight="1" x14ac:dyDescent="0.25">
      <c r="A5" s="4"/>
    </row>
    <row r="6" spans="1:16" s="7" customFormat="1" ht="10.5" customHeight="1" x14ac:dyDescent="0.25">
      <c r="A6" s="4"/>
    </row>
    <row r="7" spans="1:16" s="7" customFormat="1" ht="9.75" customHeight="1" x14ac:dyDescent="0.25">
      <c r="A7" s="4"/>
    </row>
    <row r="8" spans="1:16" s="7" customFormat="1" ht="33" customHeight="1" x14ac:dyDescent="0.25">
      <c r="A8" s="4"/>
    </row>
    <row r="9" spans="1:16" s="7" customFormat="1" x14ac:dyDescent="0.25">
      <c r="A9" s="4"/>
    </row>
    <row r="10" spans="1:16" s="7" customFormat="1" x14ac:dyDescent="0.25">
      <c r="A10" s="4"/>
    </row>
    <row r="11" spans="1:16" s="7" customFormat="1" x14ac:dyDescent="0.25">
      <c r="A11" s="4"/>
    </row>
    <row r="12" spans="1:16" s="7" customFormat="1" x14ac:dyDescent="0.25">
      <c r="A12" s="4"/>
    </row>
    <row r="13" spans="1:16" s="7" customFormat="1" x14ac:dyDescent="0.25">
      <c r="A13" s="4"/>
    </row>
    <row r="14" spans="1:16" s="7" customFormat="1" x14ac:dyDescent="0.25">
      <c r="A14" s="4"/>
    </row>
    <row r="15" spans="1:16" s="7" customFormat="1" x14ac:dyDescent="0.25">
      <c r="A15" s="4"/>
    </row>
    <row r="16" spans="1:16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Paulo Rodrigo Dias</cp:lastModifiedBy>
  <dcterms:created xsi:type="dcterms:W3CDTF">2024-12-19T13:13:10Z</dcterms:created>
  <dcterms:modified xsi:type="dcterms:W3CDTF">2026-09-15T21:52:59Z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